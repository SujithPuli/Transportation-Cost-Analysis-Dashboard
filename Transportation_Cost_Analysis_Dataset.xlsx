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fb1c07b3564a246/Desktop/"/>
    </mc:Choice>
  </mc:AlternateContent>
  <xr:revisionPtr revIDLastSave="597" documentId="11_5ABF040FC9B407222FB0CF8C65E9D9BBE12C9D04" xr6:coauthVersionLast="47" xr6:coauthVersionMax="47" xr10:uidLastSave="{E5847FFF-379A-48B3-83BE-78EDF208F460}"/>
  <bookViews>
    <workbookView xWindow="-98" yWindow="-98" windowWidth="21795" windowHeight="12975" activeTab="5" xr2:uid="{00000000-000D-0000-FFFF-FFFF00000000}"/>
  </bookViews>
  <sheets>
    <sheet name="Sheet1" sheetId="1" r:id="rId1"/>
    <sheet name="Blue Print" sheetId="2" r:id="rId2"/>
    <sheet name="total cost" sheetId="4" r:id="rId3"/>
    <sheet name="Sheet2" sheetId="3" r:id="rId4"/>
    <sheet name="cost break down" sheetId="6" r:id="rId5"/>
    <sheet name="dashboard" sheetId="5" r:id="rId6"/>
  </sheets>
  <definedNames>
    <definedName name="_xlnm._FilterDatabase" localSheetId="0" hidden="1">Sheet1!$A$1:$F$31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5" l="1"/>
  <c r="G5" i="5"/>
  <c r="E5" i="5"/>
  <c r="G11" i="1"/>
  <c r="G12" i="1"/>
  <c r="G13" i="1"/>
  <c r="G14" i="1"/>
  <c r="G15" i="1"/>
  <c r="G16" i="1"/>
  <c r="H16" i="1" s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5" i="1"/>
  <c r="G6" i="1"/>
  <c r="G7" i="1"/>
  <c r="G8" i="1"/>
  <c r="G9" i="1"/>
  <c r="G10" i="1"/>
  <c r="C5" i="5"/>
  <c r="B4" i="4"/>
  <c r="B3" i="4"/>
  <c r="H6" i="1"/>
  <c r="H8" i="1"/>
  <c r="H9" i="1"/>
  <c r="H10" i="1"/>
  <c r="H11" i="1"/>
  <c r="H12" i="1"/>
  <c r="H13" i="1"/>
  <c r="H14" i="1"/>
  <c r="H15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2" i="1"/>
  <c r="G4" i="1"/>
  <c r="G3" i="1"/>
  <c r="G2" i="1"/>
  <c r="B2" i="4" l="1"/>
  <c r="H7" i="1"/>
  <c r="B5" i="4" l="1"/>
</calcChain>
</file>

<file path=xl/sharedStrings.xml><?xml version="1.0" encoding="utf-8"?>
<sst xmlns="http://schemas.openxmlformats.org/spreadsheetml/2006/main" count="131" uniqueCount="88">
  <si>
    <t>Trip ID</t>
  </si>
  <si>
    <t>Route</t>
  </si>
  <si>
    <t>Distance (KM)</t>
  </si>
  <si>
    <t>Fuel Cost (INR)</t>
  </si>
  <si>
    <t>Toll Charges (INR)</t>
  </si>
  <si>
    <t>Driver Allowance (INR)</t>
  </si>
  <si>
    <t>T001</t>
  </si>
  <si>
    <t>Nellore-Chennai</t>
  </si>
  <si>
    <t>T002</t>
  </si>
  <si>
    <t>Nellore-Vijayawada</t>
  </si>
  <si>
    <t>T003</t>
  </si>
  <si>
    <t>Nellore-Tirupati</t>
  </si>
  <si>
    <t>T004</t>
  </si>
  <si>
    <t>Nellore-Bengaluru</t>
  </si>
  <si>
    <t>T005</t>
  </si>
  <si>
    <t>T006</t>
  </si>
  <si>
    <t>Nellore-Guntur</t>
  </si>
  <si>
    <t>T007</t>
  </si>
  <si>
    <t>Nellore-Kadapa</t>
  </si>
  <si>
    <t>T008</t>
  </si>
  <si>
    <t>Nellore-Hyderabad</t>
  </si>
  <si>
    <t>T009</t>
  </si>
  <si>
    <t>Nellore-Ongole</t>
  </si>
  <si>
    <t>T010</t>
  </si>
  <si>
    <t>Nellore-Rajahmundry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</si>
  <si>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</si>
  <si>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</si>
  <si>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</si>
  <si>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</si>
  <si>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</si>
  <si>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</si>
  <si>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</si>
  <si>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</si>
  <si>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</si>
  <si>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</si>
  <si>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</si>
  <si>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</si>
  <si>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</si>
  <si>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</si>
  <si>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</si>
  <si>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</si>
  <si>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</si>
  <si>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</si>
  <si>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</si>
  <si>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</si>
  <si>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Project Guide</t>
  </si>
  <si>
    <t>Dataset for a beginner-friendly Transportation Cost Analysis project.</t>
  </si>
  <si>
    <t>All figures are fictional and created for Excel practice.</t>
  </si>
  <si>
    <t>Start by calculating Total Transportation Cost = Fuel Cost + Toll Charges + Driver Allowance.</t>
  </si>
  <si>
    <t>Then calculate Cost per KM = Total Transportation Cost / Distance (KM).</t>
  </si>
  <si>
    <t>Use PivotTables and charts later to compare costs by route.</t>
  </si>
  <si>
    <t>Do not worry about advanced formulas at the start; build step by step.</t>
  </si>
  <si>
    <t>total cost</t>
  </si>
  <si>
    <t>cost per KM</t>
  </si>
  <si>
    <t>Row Labels</t>
  </si>
  <si>
    <t>Grand Total</t>
  </si>
  <si>
    <t>Total Transportation Cost</t>
  </si>
  <si>
    <t>Total Number of Trips</t>
  </si>
  <si>
    <t>Total Distance (KM)</t>
  </si>
  <si>
    <t>Average Cost Per KM</t>
  </si>
  <si>
    <t>KPI</t>
  </si>
  <si>
    <t>Result</t>
  </si>
  <si>
    <t>┌──────────────────────────────────────────────────────────────┐</t>
  </si>
  <si>
    <t>│           TRANSPORTATION COST ANALYSIS DASHBOARD             │</t>
  </si>
  <si>
    <t>├────────────────┬───────────────┬──────────────┬───────────────┤</t>
  </si>
  <si>
    <t>│ TOTAL COST     │ TOTAL TRIPS   │ TOTAL DIST.  │ AVG COST/KM   │</t>
  </si>
  <si>
    <t>│ ₹1,40,240      │ 30            │ 7,420 KM     │ ₹18.90        │</t>
  </si>
  <si>
    <t>├────────────────────────────────┬─────────────────────────────┤</t>
  </si>
  <si>
    <t>│                                │                             │</t>
  </si>
  <si>
    <t>│   CHART 1                      │   CHART 2                   │</t>
  </si>
  <si>
    <t>│   Total Cost by Route          │   Average Cost Per KM       │</t>
  </si>
  <si>
    <t>├────────────────────────────────┴─────────────────────────────┤</t>
  </si>
  <si>
    <t>│                                                              │</t>
  </si>
  <si>
    <t>│   CHART 3: Fuel Cost vs Toll Charges vs Driver Allowance     │</t>
  </si>
  <si>
    <t>└──────────────────────────────────────────────────────────────┘</t>
  </si>
  <si>
    <t xml:space="preserve"> </t>
  </si>
  <si>
    <t>TRANSPORTATION COST ANALYSIS DASHBOARD</t>
  </si>
  <si>
    <t>TOTAL TRANSPORTATION COST</t>
  </si>
  <si>
    <t>TOTAL TRIPS</t>
  </si>
  <si>
    <t>TOTAL DISTANCE (KM)</t>
  </si>
  <si>
    <t>AVERAGE COST PER KM</t>
  </si>
  <si>
    <t>Total Transportation Cost by Route</t>
  </si>
  <si>
    <t>Average of cost per KM</t>
  </si>
  <si>
    <t>Average Cost Per KM by Route</t>
  </si>
  <si>
    <t>Sum of Fuel Cost (INR)</t>
  </si>
  <si>
    <t>Sum of Toll Charges (INR)</t>
  </si>
  <si>
    <t>Sum of Driver Allowance (INR)</t>
  </si>
  <si>
    <t>Transportation Cost Breakdown by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</si>
</sst>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9"/>
      <color rgb="FF59595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5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NumberFormat="1"/>
    <xf numFmtId="0" fontId="4" fillId="2" borderId="1" xfId="0" applyFont="1" applyFill="1" applyBorder="1" applyAlignment="1">
      <alignment horizontal="center"/>
    </xf>
    <xf numFmtId="0" fontId="5" fillId="3" borderId="3" xfId="0" applyFont="1" applyFill="1" applyBorder="1"/>
    <xf numFmtId="0" fontId="5" fillId="4" borderId="3" xfId="0" applyFont="1" applyFill="1" applyBorder="1"/>
    <xf numFmtId="0" fontId="5" fillId="5" borderId="3" xfId="0" applyFont="1" applyFill="1" applyBorder="1"/>
    <xf numFmtId="0" fontId="7" fillId="6" borderId="0" xfId="0" applyFont="1" applyFill="1" applyAlignment="1">
      <alignment horizontal="center"/>
    </xf>
    <xf numFmtId="43" fontId="0" fillId="0" borderId="0" xfId="1" applyFont="1"/>
    <xf numFmtId="43" fontId="1" fillId="0" borderId="1" xfId="1" applyFont="1" applyBorder="1" applyAlignment="1">
      <alignment horizontal="center" vertical="top"/>
    </xf>
    <xf numFmtId="43" fontId="1" fillId="0" borderId="2" xfId="1" applyFont="1" applyBorder="1" applyAlignment="1">
      <alignment horizontal="center" vertical="top"/>
    </xf>
    <xf numFmtId="43" fontId="2" fillId="0" borderId="0" xfId="1" applyFont="1"/>
    <xf numFmtId="43" fontId="5" fillId="0" borderId="4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43" fontId="5" fillId="0" borderId="4" xfId="0" applyNumberFormat="1" applyFont="1" applyBorder="1" applyAlignment="1">
      <alignment horizontal="center" vertical="center"/>
    </xf>
    <xf numFmtId="0" fontId="0" fillId="7" borderId="0" xfId="0" applyFill="1"/>
    <xf numFmtId="0" fontId="9" fillId="6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 readingOrder="1"/>
    </xf>
    <xf numFmtId="0" fontId="9" fillId="7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9" defaultPivotStyle="PivotStyleLight16">
    <tableStyle name="Invisible" pivot="0" table="0" count="0" xr9:uid="{07DCDB39-73E2-4696-9874-80C1EB0B7B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Nellore-Bengaluru</c:v>
              </c:pt>
              <c:pt idx="1">
                <c:v>Nellore-Chennai</c:v>
              </c:pt>
              <c:pt idx="2">
                <c:v>Nellore-Guntur</c:v>
              </c:pt>
              <c:pt idx="3">
                <c:v>Nellore-Hyderabad</c:v>
              </c:pt>
              <c:pt idx="4">
                <c:v>Nellore-Kadapa</c:v>
              </c:pt>
              <c:pt idx="5">
                <c:v>Nellore-Ongole</c:v>
              </c:pt>
              <c:pt idx="6">
                <c:v>Nellore-Rajahmundry</c:v>
              </c:pt>
              <c:pt idx="7">
                <c:v>Nellore-Tirupati</c:v>
              </c:pt>
              <c:pt idx="8">
                <c:v>Nellore-Vijayawada</c:v>
              </c:pt>
            </c:strLit>
          </c:cat>
          <c:val>
            <c:numLit>
              <c:formatCode>General</c:formatCode>
              <c:ptCount val="9"/>
              <c:pt idx="0">
                <c:v>17200</c:v>
              </c:pt>
              <c:pt idx="1">
                <c:v>18100</c:v>
              </c:pt>
              <c:pt idx="2">
                <c:v>12650</c:v>
              </c:pt>
              <c:pt idx="3">
                <c:v>24600</c:v>
              </c:pt>
              <c:pt idx="4">
                <c:v>11250</c:v>
              </c:pt>
              <c:pt idx="5">
                <c:v>7290</c:v>
              </c:pt>
              <c:pt idx="6">
                <c:v>21250</c:v>
              </c:pt>
              <c:pt idx="7">
                <c:v>8050</c:v>
              </c:pt>
              <c:pt idx="8">
                <c:v>19850</c:v>
              </c:pt>
            </c:numLit>
          </c:val>
          <c:extLst>
            <c:ext xmlns:c16="http://schemas.microsoft.com/office/drawing/2014/chart" uri="{C3380CC4-5D6E-409C-BE32-E72D297353CC}">
              <c16:uniqueId val="{00000000-DDF4-4728-A089-754C6FC26362}"/>
            </c:ext>
          </c:extLst>
        </c:ser>
        <c:ser>
          <c:idx val="1"/>
          <c:order val="1"/>
          <c:tx>
            <c:v>Sum of cost per KM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Nellore-Bengaluru</c:v>
              </c:pt>
              <c:pt idx="1">
                <c:v>Nellore-Chennai</c:v>
              </c:pt>
              <c:pt idx="2">
                <c:v>Nellore-Guntur</c:v>
              </c:pt>
              <c:pt idx="3">
                <c:v>Nellore-Hyderabad</c:v>
              </c:pt>
              <c:pt idx="4">
                <c:v>Nellore-Kadapa</c:v>
              </c:pt>
              <c:pt idx="5">
                <c:v>Nellore-Ongole</c:v>
              </c:pt>
              <c:pt idx="6">
                <c:v>Nellore-Rajahmundry</c:v>
              </c:pt>
              <c:pt idx="7">
                <c:v>Nellore-Tirupati</c:v>
              </c:pt>
              <c:pt idx="8">
                <c:v>Nellore-Vijayawada</c:v>
              </c:pt>
            </c:strLit>
          </c:cat>
          <c:val>
            <c:numLit>
              <c:formatCode>General</c:formatCode>
              <c:ptCount val="9"/>
              <c:pt idx="0">
                <c:v>57.333333333333343</c:v>
              </c:pt>
              <c:pt idx="1">
                <c:v>100.55555555555554</c:v>
              </c:pt>
              <c:pt idx="2">
                <c:v>57.5</c:v>
              </c:pt>
              <c:pt idx="3">
                <c:v>54.666666666666671</c:v>
              </c:pt>
              <c:pt idx="4">
                <c:v>59.210526315789473</c:v>
              </c:pt>
              <c:pt idx="5">
                <c:v>60.75</c:v>
              </c:pt>
              <c:pt idx="6">
                <c:v>54.487179487179489</c:v>
              </c:pt>
              <c:pt idx="7">
                <c:v>61.923076923076927</c:v>
              </c:pt>
              <c:pt idx="8">
                <c:v>70.892857142857139</c:v>
              </c:pt>
            </c:numLit>
          </c:val>
          <c:extLst>
            <c:ext xmlns:c16="http://schemas.microsoft.com/office/drawing/2014/chart" uri="{C3380CC4-5D6E-409C-BE32-E72D297353CC}">
              <c16:uniqueId val="{00000001-DDF4-4728-A089-754C6FC26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649343"/>
        <c:axId val="2006377775"/>
      </c:barChart>
      <c:catAx>
        <c:axId val="208464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77775"/>
        <c:crosses val="autoZero"/>
        <c:auto val="1"/>
        <c:lblAlgn val="ctr"/>
        <c:lblOffset val="100"/>
        <c:noMultiLvlLbl val="0"/>
      </c:catAx>
      <c:valAx>
        <c:axId val="200637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64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[Transportation_Cost_Analysis_Dataset.xlsx]cost break down!PivotTable1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Transportation Cost Breakdown by Route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 break down'!$B$3</c:f>
              <c:strCache>
                <c:ptCount val="1"/>
                <c:pt idx="0">
                  <c:v>Sum of Fuel Cost (INR)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 break down'!$A$4:$A$13</c:f>
              <c:strCache>
                <c:ptCount val="9"/>
                <c:pt idx="0">
                  <c:v>Nellore-Bengaluru</c:v>
                </c:pt>
                <c:pt idx="1">
                  <c:v>Nellore-Chennai</c:v>
                </c:pt>
                <c:pt idx="2">
                  <c:v>Nellore-Guntur</c:v>
                </c:pt>
                <c:pt idx="3">
                  <c:v>Nellore-Hyderabad</c:v>
                </c:pt>
                <c:pt idx="4">
                  <c:v>Nellore-Kadapa</c:v>
                </c:pt>
                <c:pt idx="5">
                  <c:v>Nellore-Ongole</c:v>
                </c:pt>
                <c:pt idx="6">
                  <c:v>Nellore-Rajahmundry</c:v>
                </c:pt>
                <c:pt idx="7">
                  <c:v>Nellore-Tirupati</c:v>
                </c:pt>
                <c:pt idx="8">
                  <c:v>Nellore-Vijayawada</c:v>
                </c:pt>
              </c:strCache>
            </c:strRef>
          </c:cat>
          <c:val>
            <c:numRef>
              <c:f>'cost break down'!$B$4:$B$13</c:f>
              <c:numCache>
                <c:formatCode>General</c:formatCode>
                <c:ptCount val="9"/>
                <c:pt idx="0">
                  <c:v>12100</c:v>
                </c:pt>
                <c:pt idx="1">
                  <c:v>12100</c:v>
                </c:pt>
                <c:pt idx="2">
                  <c:v>8750</c:v>
                </c:pt>
                <c:pt idx="3">
                  <c:v>18300</c:v>
                </c:pt>
                <c:pt idx="4">
                  <c:v>7800</c:v>
                </c:pt>
                <c:pt idx="5">
                  <c:v>4800</c:v>
                </c:pt>
                <c:pt idx="6">
                  <c:v>15700</c:v>
                </c:pt>
                <c:pt idx="7">
                  <c:v>5350</c:v>
                </c:pt>
                <c:pt idx="8">
                  <c:v>13850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6-4338-A30B-3AC299A817FB}"/>
            </c:ext>
          </c:extLst>
        </c:ser>
        <c:ser>
          <c:idx val="1"/>
          <c:order val="1"/>
          <c:tx>
            <c:strRef>
              <c:f>'cost break down'!$C$3</c:f>
              <c:strCache>
                <c:ptCount val="1"/>
                <c:pt idx="0">
                  <c:v>Sum of Toll Charges (INR)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'cost break down'!$A$4:$A$13</c:f>
              <c:strCache>
                <c:ptCount val="9"/>
                <c:pt idx="0">
                  <c:v>Nellore-Bengaluru</c:v>
                </c:pt>
                <c:pt idx="1">
                  <c:v>Nellore-Chennai</c:v>
                </c:pt>
                <c:pt idx="2">
                  <c:v>Nellore-Guntur</c:v>
                </c:pt>
                <c:pt idx="3">
                  <c:v>Nellore-Hyderabad</c:v>
                </c:pt>
                <c:pt idx="4">
                  <c:v>Nellore-Kadapa</c:v>
                </c:pt>
                <c:pt idx="5">
                  <c:v>Nellore-Ongole</c:v>
                </c:pt>
                <c:pt idx="6">
                  <c:v>Nellore-Rajahmundry</c:v>
                </c:pt>
                <c:pt idx="7">
                  <c:v>Nellore-Tirupati</c:v>
                </c:pt>
                <c:pt idx="8">
                  <c:v>Nellore-Vijayawada</c:v>
                </c:pt>
              </c:strCache>
            </c:strRef>
          </c:cat>
          <c:val>
            <c:numRef>
              <c:f>'cost break down'!$C$4:$C$13</c:f>
              <c:numCache>
                <c:formatCode>General</c:formatCode>
                <c:ptCount val="9"/>
                <c:pt idx="0">
                  <c:v>2100</c:v>
                </c:pt>
                <c:pt idx="1">
                  <c:v>2000</c:v>
                </c:pt>
                <c:pt idx="2">
                  <c:v>1350</c:v>
                </c:pt>
                <c:pt idx="3">
                  <c:v>2700</c:v>
                </c:pt>
                <c:pt idx="4">
                  <c:v>1050</c:v>
                </c:pt>
                <c:pt idx="5">
                  <c:v>540</c:v>
                </c:pt>
                <c:pt idx="6">
                  <c:v>2250</c:v>
                </c:pt>
                <c:pt idx="7">
                  <c:v>600</c:v>
                </c:pt>
                <c:pt idx="8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6-4338-A30B-3AC299A817FB}"/>
            </c:ext>
          </c:extLst>
        </c:ser>
        <c:ser>
          <c:idx val="2"/>
          <c:order val="2"/>
          <c:tx>
            <c:strRef>
              <c:f>'cost break down'!$D$3</c:f>
              <c:strCache>
                <c:ptCount val="1"/>
                <c:pt idx="0">
                  <c:v>Sum of Driver Allowance (INR)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'cost break down'!$A$4:$A$13</c:f>
              <c:strCache>
                <c:ptCount val="9"/>
                <c:pt idx="0">
                  <c:v>Nellore-Bengaluru</c:v>
                </c:pt>
                <c:pt idx="1">
                  <c:v>Nellore-Chennai</c:v>
                </c:pt>
                <c:pt idx="2">
                  <c:v>Nellore-Guntur</c:v>
                </c:pt>
                <c:pt idx="3">
                  <c:v>Nellore-Hyderabad</c:v>
                </c:pt>
                <c:pt idx="4">
                  <c:v>Nellore-Kadapa</c:v>
                </c:pt>
                <c:pt idx="5">
                  <c:v>Nellore-Ongole</c:v>
                </c:pt>
                <c:pt idx="6">
                  <c:v>Nellore-Rajahmundry</c:v>
                </c:pt>
                <c:pt idx="7">
                  <c:v>Nellore-Tirupati</c:v>
                </c:pt>
                <c:pt idx="8">
                  <c:v>Nellore-Vijayawada</c:v>
                </c:pt>
              </c:strCache>
            </c:strRef>
          </c:cat>
          <c:val>
            <c:numRef>
              <c:f>'cost break down'!$D$4:$D$13</c:f>
              <c:numCache>
                <c:formatCode>General</c:formatCode>
                <c:ptCount val="9"/>
                <c:pt idx="0">
                  <c:v>3000</c:v>
                </c:pt>
                <c:pt idx="1">
                  <c:v>4000</c:v>
                </c:pt>
                <c:pt idx="2">
                  <c:v>2550</c:v>
                </c:pt>
                <c:pt idx="3">
                  <c:v>3600</c:v>
                </c:pt>
                <c:pt idx="4">
                  <c:v>2400</c:v>
                </c:pt>
                <c:pt idx="5">
                  <c:v>1950</c:v>
                </c:pt>
                <c:pt idx="6">
                  <c:v>3300</c:v>
                </c:pt>
                <c:pt idx="7">
                  <c:v>2100</c:v>
                </c:pt>
                <c:pt idx="8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66-4338-A30B-3AC299A81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8198159"/>
        <c:axId val="1852842191"/>
      </c:barChart>
      <c:catAx>
        <c:axId val="1758198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Route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842191"/>
        <c:crosses val="autoZero"/>
        <c:auto val="1"/>
        <c:lblAlgn val="ctr"/>
        <c:lblOffset val="100"/>
        <c:noMultiLvlLbl val="0"/>
      </c:catAx>
      <c:valAx>
        <c:axId val="185284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Total Cost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19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[Transportation_Cost_Analysis_Dataset.xlsx]Sheet2!PivotTable1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Transportation Cost by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Sheet2!$A$2:$A$11</c:f>
              <c:strCache>
                <c:ptCount val="9"/>
                <c:pt idx="0">
                  <c:v>Nellore-Bengaluru</c:v>
                </c:pt>
                <c:pt idx="1">
                  <c:v>Nellore-Chennai</c:v>
                </c:pt>
                <c:pt idx="2">
                  <c:v>Nellore-Guntur</c:v>
                </c:pt>
                <c:pt idx="3">
                  <c:v>Nellore-Hyderabad</c:v>
                </c:pt>
                <c:pt idx="4">
                  <c:v>Nellore-Kadapa</c:v>
                </c:pt>
                <c:pt idx="5">
                  <c:v>Nellore-Ongole</c:v>
                </c:pt>
                <c:pt idx="6">
                  <c:v>Nellore-Rajahmundry</c:v>
                </c:pt>
                <c:pt idx="7">
                  <c:v>Nellore-Tirupati</c:v>
                </c:pt>
                <c:pt idx="8">
                  <c:v>Nellore-Vijayawada</c:v>
                </c:pt>
              </c:strCache>
            </c:strRef>
          </c:cat>
          <c:val>
            <c:numRef>
              <c:f>Sheet2!$B$2:$B$11</c:f>
              <c:numCache>
                <c:formatCode>General</c:formatCode>
                <c:ptCount val="9"/>
                <c:pt idx="0">
                  <c:v>19.111111111111114</c:v>
                </c:pt>
                <c:pt idx="1">
                  <c:v>20.111111111111107</c:v>
                </c:pt>
                <c:pt idx="2">
                  <c:v>19.166666666666668</c:v>
                </c:pt>
                <c:pt idx="3">
                  <c:v>18.222222222222225</c:v>
                </c:pt>
                <c:pt idx="4">
                  <c:v>19.736842105263158</c:v>
                </c:pt>
                <c:pt idx="5">
                  <c:v>20.25</c:v>
                </c:pt>
                <c:pt idx="6">
                  <c:v>18.162393162393162</c:v>
                </c:pt>
                <c:pt idx="7">
                  <c:v>20.641025641025642</c:v>
                </c:pt>
                <c:pt idx="8">
                  <c:v>17.723214285714285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8-46EA-9987-409F34D9A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3580783"/>
        <c:axId val="2020345551"/>
      </c:barChart>
      <c:catAx>
        <c:axId val="87358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345551"/>
        <c:crosses val="autoZero"/>
        <c:auto val="1"/>
        <c:lblAlgn val="ctr"/>
        <c:lblOffset val="100"/>
        <c:noMultiLvlLbl val="0"/>
      </c:catAx>
      <c:valAx>
        <c:axId val="202034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58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[Transportation_Cost_Analysis_Dataset.xlsx]Sheet2!PivotTable1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Cost Per KM by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Sheet2!$A$2:$A$11</c:f>
              <c:strCache>
                <c:ptCount val="9"/>
                <c:pt idx="0">
                  <c:v>Nellore-Bengaluru</c:v>
                </c:pt>
                <c:pt idx="1">
                  <c:v>Nellore-Chennai</c:v>
                </c:pt>
                <c:pt idx="2">
                  <c:v>Nellore-Guntur</c:v>
                </c:pt>
                <c:pt idx="3">
                  <c:v>Nellore-Hyderabad</c:v>
                </c:pt>
                <c:pt idx="4">
                  <c:v>Nellore-Kadapa</c:v>
                </c:pt>
                <c:pt idx="5">
                  <c:v>Nellore-Ongole</c:v>
                </c:pt>
                <c:pt idx="6">
                  <c:v>Nellore-Rajahmundry</c:v>
                </c:pt>
                <c:pt idx="7">
                  <c:v>Nellore-Tirupati</c:v>
                </c:pt>
                <c:pt idx="8">
                  <c:v>Nellore-Vijayawada</c:v>
                </c:pt>
              </c:strCache>
            </c:strRef>
          </c:cat>
          <c:val>
            <c:numRef>
              <c:f>Sheet2!$B$2:$B$11</c:f>
              <c:numCache>
                <c:formatCode>General</c:formatCode>
                <c:ptCount val="9"/>
                <c:pt idx="0">
                  <c:v>19.111111111111114</c:v>
                </c:pt>
                <c:pt idx="1">
                  <c:v>20.111111111111107</c:v>
                </c:pt>
                <c:pt idx="2">
                  <c:v>19.166666666666668</c:v>
                </c:pt>
                <c:pt idx="3">
                  <c:v>18.222222222222225</c:v>
                </c:pt>
                <c:pt idx="4">
                  <c:v>19.736842105263158</c:v>
                </c:pt>
                <c:pt idx="5">
                  <c:v>20.25</c:v>
                </c:pt>
                <c:pt idx="6">
                  <c:v>18.162393162393162</c:v>
                </c:pt>
                <c:pt idx="7">
                  <c:v>20.641025641025642</c:v>
                </c:pt>
                <c:pt idx="8">
                  <c:v>17.723214285714285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1-4D73-8D79-F2943C49A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73497727"/>
        <c:axId val="1657335951"/>
      </c:barChart>
      <c:catAx>
        <c:axId val="873497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335951"/>
        <c:crosses val="autoZero"/>
        <c:auto val="1"/>
        <c:lblAlgn val="ctr"/>
        <c:lblOffset val="100"/>
        <c:noMultiLvlLbl val="0"/>
      </c:catAx>
      <c:valAx>
        <c:axId val="165733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9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[Transportation_Cost_Analysis_Dataset.xlsx]cost break down!PivotTable1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Transportation Cost Breakdown by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 break down'!$B$3</c:f>
              <c:strCache>
                <c:ptCount val="1"/>
                <c:pt idx="0">
                  <c:v>Sum of Fuel Cost (INR)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'cost break down'!$A$4:$A$13</c:f>
              <c:strCache>
                <c:ptCount val="9"/>
                <c:pt idx="0">
                  <c:v>Nellore-Bengaluru</c:v>
                </c:pt>
                <c:pt idx="1">
                  <c:v>Nellore-Chennai</c:v>
                </c:pt>
                <c:pt idx="2">
                  <c:v>Nellore-Guntur</c:v>
                </c:pt>
                <c:pt idx="3">
                  <c:v>Nellore-Hyderabad</c:v>
                </c:pt>
                <c:pt idx="4">
                  <c:v>Nellore-Kadapa</c:v>
                </c:pt>
                <c:pt idx="5">
                  <c:v>Nellore-Ongole</c:v>
                </c:pt>
                <c:pt idx="6">
                  <c:v>Nellore-Rajahmundry</c:v>
                </c:pt>
                <c:pt idx="7">
                  <c:v>Nellore-Tirupati</c:v>
                </c:pt>
                <c:pt idx="8">
                  <c:v>Nellore-Vijayawada</c:v>
                </c:pt>
              </c:strCache>
            </c:strRef>
          </c:cat>
          <c:val>
            <c:numRef>
              <c:f>'cost break down'!$B$4:$B$13</c:f>
              <c:numCache>
                <c:formatCode>General</c:formatCode>
                <c:ptCount val="9"/>
                <c:pt idx="0">
                  <c:v>12100</c:v>
                </c:pt>
                <c:pt idx="1">
                  <c:v>12100</c:v>
                </c:pt>
                <c:pt idx="2">
                  <c:v>8750</c:v>
                </c:pt>
                <c:pt idx="3">
                  <c:v>18300</c:v>
                </c:pt>
                <c:pt idx="4">
                  <c:v>7800</c:v>
                </c:pt>
                <c:pt idx="5">
                  <c:v>4800</c:v>
                </c:pt>
                <c:pt idx="6">
                  <c:v>15700</c:v>
                </c:pt>
                <c:pt idx="7">
                  <c:v>5350</c:v>
                </c:pt>
                <c:pt idx="8">
                  <c:v>13850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F-421F-9D8E-4571977D66B2}"/>
            </c:ext>
          </c:extLst>
        </c:ser>
        <c:ser>
          <c:idx val="1"/>
          <c:order val="1"/>
          <c:tx>
            <c:strRef>
              <c:f>'cost break down'!$C$3</c:f>
              <c:strCache>
                <c:ptCount val="1"/>
                <c:pt idx="0">
                  <c:v>Sum of Toll Charges (INR)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'cost break down'!$A$4:$A$13</c:f>
              <c:strCache>
                <c:ptCount val="9"/>
                <c:pt idx="0">
                  <c:v>Nellore-Bengaluru</c:v>
                </c:pt>
                <c:pt idx="1">
                  <c:v>Nellore-Chennai</c:v>
                </c:pt>
                <c:pt idx="2">
                  <c:v>Nellore-Guntur</c:v>
                </c:pt>
                <c:pt idx="3">
                  <c:v>Nellore-Hyderabad</c:v>
                </c:pt>
                <c:pt idx="4">
                  <c:v>Nellore-Kadapa</c:v>
                </c:pt>
                <c:pt idx="5">
                  <c:v>Nellore-Ongole</c:v>
                </c:pt>
                <c:pt idx="6">
                  <c:v>Nellore-Rajahmundry</c:v>
                </c:pt>
                <c:pt idx="7">
                  <c:v>Nellore-Tirupati</c:v>
                </c:pt>
                <c:pt idx="8">
                  <c:v>Nellore-Vijayawada</c:v>
                </c:pt>
              </c:strCache>
            </c:strRef>
          </c:cat>
          <c:val>
            <c:numRef>
              <c:f>'cost break down'!$C$4:$C$13</c:f>
              <c:numCache>
                <c:formatCode>General</c:formatCode>
                <c:ptCount val="9"/>
                <c:pt idx="0">
                  <c:v>2100</c:v>
                </c:pt>
                <c:pt idx="1">
                  <c:v>2000</c:v>
                </c:pt>
                <c:pt idx="2">
                  <c:v>1350</c:v>
                </c:pt>
                <c:pt idx="3">
                  <c:v>2700</c:v>
                </c:pt>
                <c:pt idx="4">
                  <c:v>1050</c:v>
                </c:pt>
                <c:pt idx="5">
                  <c:v>540</c:v>
                </c:pt>
                <c:pt idx="6">
                  <c:v>2250</c:v>
                </c:pt>
                <c:pt idx="7">
                  <c:v>600</c:v>
                </c:pt>
                <c:pt idx="8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F-421F-9D8E-4571977D66B2}"/>
            </c:ext>
          </c:extLst>
        </c:ser>
        <c:ser>
          <c:idx val="2"/>
          <c:order val="2"/>
          <c:tx>
            <c:strRef>
              <c:f>'cost break down'!$D$3</c:f>
              <c:strCache>
                <c:ptCount val="1"/>
                <c:pt idx="0">
                  <c:v>Sum of Driver Allowance (INR)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'cost break down'!$A$4:$A$13</c:f>
              <c:strCache>
                <c:ptCount val="9"/>
                <c:pt idx="0">
                  <c:v>Nellore-Bengaluru</c:v>
                </c:pt>
                <c:pt idx="1">
                  <c:v>Nellore-Chennai</c:v>
                </c:pt>
                <c:pt idx="2">
                  <c:v>Nellore-Guntur</c:v>
                </c:pt>
                <c:pt idx="3">
                  <c:v>Nellore-Hyderabad</c:v>
                </c:pt>
                <c:pt idx="4">
                  <c:v>Nellore-Kadapa</c:v>
                </c:pt>
                <c:pt idx="5">
                  <c:v>Nellore-Ongole</c:v>
                </c:pt>
                <c:pt idx="6">
                  <c:v>Nellore-Rajahmundry</c:v>
                </c:pt>
                <c:pt idx="7">
                  <c:v>Nellore-Tirupati</c:v>
                </c:pt>
                <c:pt idx="8">
                  <c:v>Nellore-Vijayawada</c:v>
                </c:pt>
              </c:strCache>
            </c:strRef>
          </c:cat>
          <c:val>
            <c:numRef>
              <c:f>'cost break down'!$D$4:$D$13</c:f>
              <c:numCache>
                <c:formatCode>General</c:formatCode>
                <c:ptCount val="9"/>
                <c:pt idx="0">
                  <c:v>3000</c:v>
                </c:pt>
                <c:pt idx="1">
                  <c:v>4000</c:v>
                </c:pt>
                <c:pt idx="2">
                  <c:v>2550</c:v>
                </c:pt>
                <c:pt idx="3">
                  <c:v>3600</c:v>
                </c:pt>
                <c:pt idx="4">
                  <c:v>2400</c:v>
                </c:pt>
                <c:pt idx="5">
                  <c:v>1950</c:v>
                </c:pt>
                <c:pt idx="6">
                  <c:v>3300</c:v>
                </c:pt>
                <c:pt idx="7">
                  <c:v>2100</c:v>
                </c:pt>
                <c:pt idx="8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9F-421F-9D8E-4571977D6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58198159"/>
        <c:axId val="1852842191"/>
      </c:barChart>
      <c:catAx>
        <c:axId val="1758198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Route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842191"/>
        <c:crosses val="autoZero"/>
        <c:auto val="1"/>
        <c:lblAlgn val="ctr"/>
        <c:lblOffset val="100"/>
        <c:noMultiLvlLbl val="0"/>
      </c:catAx>
      <c:valAx>
        <c:axId val="185284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Cost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19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402430</xdr:colOff>
      <xdr:row>10</xdr:row>
      <xdr:rowOff>0</xdr:rowOff>
    </xdr:from>
    <xdr:to>
      <xdr:col>10</xdr:col>
      <xdr:colOff>440530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D69E39-4AF7-6BC1-41EC-1DD4B2A85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1226343</xdr:colOff>
      <xdr:row>11</xdr:row>
      <xdr:rowOff>180974</xdr:rowOff>
    </xdr:from>
    <xdr:to>
      <xdr:col>7</xdr:col>
      <xdr:colOff>492918</xdr:colOff>
      <xdr:row>27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CCB4B3-5ED1-5B89-23CE-B60BBE6B9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10</xdr:row>
      <xdr:rowOff>76200</xdr:rowOff>
    </xdr:from>
    <xdr:to>
      <xdr:col>1</xdr:col>
      <xdr:colOff>800099</xdr:colOff>
      <xdr:row>25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B8FF8B-D037-41ED-A78C-E4332D55C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10</xdr:row>
      <xdr:rowOff>66675</xdr:rowOff>
    </xdr:from>
    <xdr:to>
      <xdr:col>4</xdr:col>
      <xdr:colOff>1652587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9A5D65-0E9B-49AD-BBFB-DB4160259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19049</xdr:colOff>
      <xdr:row>10</xdr:row>
      <xdr:rowOff>52387</xdr:rowOff>
    </xdr:from>
    <xdr:to>
      <xdr:col>8</xdr:col>
      <xdr:colOff>400050</xdr:colOff>
      <xdr:row>26</xdr:row>
      <xdr:rowOff>14286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8DD869-884D-4B6F-BF02-6FA64F8E7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ith Puli" refreshedDate="46321.665546412034" createdVersion="8" refreshedVersion="8" minRefreshableVersion="3" recordCount="30" xr:uid="{4FB5503E-C72C-4A1F-BF7E-3878D8FB8A8B}">
  <cacheSource type="worksheet">
    <worksheetSource ref="A1:H31" sheet="Sheet1"/>
  </cacheSource>
  <cacheFields count="8">
    <cacheField name="Trip ID" numFmtId="0">
      <sharedItems count="30"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  <s v="T026"/>
        <s v="T027"/>
        <s v="T028"/>
        <s v="T029"/>
        <s v="T030"/>
      </sharedItems>
    </cacheField>
    <cacheField name="Route" numFmtId="0">
      <sharedItems count="9">
        <s v="Nellore-Chennai"/>
        <s v="Nellore-Vijayawada"/>
        <s v="Nellore-Tirupati"/>
        <s v="Nellore-Bengaluru"/>
        <s v="Nellore-Guntur"/>
        <s v="Nellore-Kadapa"/>
        <s v="Nellore-Hyderabad"/>
        <s v="Nellore-Ongole"/>
        <s v="Nellore-Rajahmundry"/>
      </sharedItems>
    </cacheField>
    <cacheField name="Distance (KM)" numFmtId="0">
      <sharedItems containsSemiMixedTypes="0" containsString="0" containsNumber="1" containsInteger="1" minValue="120" maxValue="450"/>
    </cacheField>
    <cacheField name="Fuel Cost (INR)" numFmtId="0">
      <sharedItems containsSemiMixedTypes="0" containsString="0" containsNumber="1" containsInteger="1" minValue="1550" maxValue="6300"/>
    </cacheField>
    <cacheField name="Toll Charges (INR)" numFmtId="0">
      <sharedItems containsSemiMixedTypes="0" containsString="0" containsNumber="1" containsInteger="1" minValue="180" maxValue="900"/>
    </cacheField>
    <cacheField name="Driver Allowance (INR)" numFmtId="0">
      <sharedItems containsSemiMixedTypes="0" containsString="0" containsNumber="1" containsInteger="1" minValue="650" maxValue="1200"/>
    </cacheField>
    <cacheField name="total cost" numFmtId="0">
      <sharedItems containsSemiMixedTypes="0" containsString="0" containsNumber="1" containsInteger="1" minValue="2380" maxValue="8400"/>
    </cacheField>
    <cacheField name="cost per KM" numFmtId="0">
      <sharedItems containsSemiMixedTypes="0" containsString="0" containsNumber="1" minValue="17.142857142857142" maxValue="21.1538461538461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180"/>
    <n v="2500"/>
    <n v="400"/>
    <n v="800"/>
    <n v="3700"/>
    <n v="20.555555555555557"/>
  </r>
  <r>
    <x v="1"/>
    <x v="1"/>
    <n v="280"/>
    <n v="3500"/>
    <n v="600"/>
    <n v="900"/>
    <n v="5000"/>
    <n v="17.857142857142858"/>
  </r>
  <r>
    <x v="2"/>
    <x v="2"/>
    <n v="130"/>
    <n v="1800"/>
    <n v="200"/>
    <n v="700"/>
    <n v="2700"/>
    <n v="20.76923076923077"/>
  </r>
  <r>
    <x v="3"/>
    <x v="3"/>
    <n v="300"/>
    <n v="4000"/>
    <n v="700"/>
    <n v="1000"/>
    <n v="5700"/>
    <n v="19"/>
  </r>
  <r>
    <x v="4"/>
    <x v="0"/>
    <n v="180"/>
    <n v="2300"/>
    <n v="400"/>
    <n v="800"/>
    <n v="3500"/>
    <n v="19.444444444444443"/>
  </r>
  <r>
    <x v="5"/>
    <x v="4"/>
    <n v="220"/>
    <n v="2900"/>
    <n v="450"/>
    <n v="850"/>
    <n v="4200"/>
    <n v="19.09090909090909"/>
  </r>
  <r>
    <x v="6"/>
    <x v="5"/>
    <n v="190"/>
    <n v="2600"/>
    <n v="350"/>
    <n v="800"/>
    <n v="3750"/>
    <n v="19.736842105263158"/>
  </r>
  <r>
    <x v="7"/>
    <x v="6"/>
    <n v="450"/>
    <n v="6100"/>
    <n v="900"/>
    <n v="1200"/>
    <n v="8200"/>
    <n v="18.222222222222221"/>
  </r>
  <r>
    <x v="8"/>
    <x v="7"/>
    <n v="120"/>
    <n v="1600"/>
    <n v="180"/>
    <n v="650"/>
    <n v="2430"/>
    <n v="20.25"/>
  </r>
  <r>
    <x v="9"/>
    <x v="8"/>
    <n v="390"/>
    <n v="5200"/>
    <n v="750"/>
    <n v="1100"/>
    <n v="7050"/>
    <n v="18.076923076923077"/>
  </r>
  <r>
    <x v="10"/>
    <x v="0"/>
    <n v="180"/>
    <n v="2400"/>
    <n v="400"/>
    <n v="800"/>
    <n v="3600"/>
    <n v="20"/>
  </r>
  <r>
    <x v="11"/>
    <x v="1"/>
    <n v="280"/>
    <n v="3300"/>
    <n v="600"/>
    <n v="900"/>
    <n v="4800"/>
    <n v="17.142857142857142"/>
  </r>
  <r>
    <x v="12"/>
    <x v="2"/>
    <n v="130"/>
    <n v="1700"/>
    <n v="200"/>
    <n v="700"/>
    <n v="2600"/>
    <n v="20"/>
  </r>
  <r>
    <x v="13"/>
    <x v="3"/>
    <n v="300"/>
    <n v="4200"/>
    <n v="700"/>
    <n v="1000"/>
    <n v="5900"/>
    <n v="19.666666666666668"/>
  </r>
  <r>
    <x v="14"/>
    <x v="4"/>
    <n v="220"/>
    <n v="2800"/>
    <n v="450"/>
    <n v="850"/>
    <n v="4100"/>
    <n v="18.636363636363637"/>
  </r>
  <r>
    <x v="15"/>
    <x v="5"/>
    <n v="190"/>
    <n v="2500"/>
    <n v="350"/>
    <n v="800"/>
    <n v="3650"/>
    <n v="19.210526315789473"/>
  </r>
  <r>
    <x v="16"/>
    <x v="6"/>
    <n v="450"/>
    <n v="5900"/>
    <n v="900"/>
    <n v="1200"/>
    <n v="8000"/>
    <n v="17.777777777777779"/>
  </r>
  <r>
    <x v="17"/>
    <x v="7"/>
    <n v="120"/>
    <n v="1550"/>
    <n v="180"/>
    <n v="650"/>
    <n v="2380"/>
    <n v="19.833333333333332"/>
  </r>
  <r>
    <x v="18"/>
    <x v="8"/>
    <n v="390"/>
    <n v="5400"/>
    <n v="750"/>
    <n v="1100"/>
    <n v="7250"/>
    <n v="18.589743589743591"/>
  </r>
  <r>
    <x v="19"/>
    <x v="0"/>
    <n v="180"/>
    <n v="2550"/>
    <n v="400"/>
    <n v="800"/>
    <n v="3750"/>
    <n v="20.833333333333332"/>
  </r>
  <r>
    <x v="20"/>
    <x v="1"/>
    <n v="280"/>
    <n v="3600"/>
    <n v="600"/>
    <n v="900"/>
    <n v="5100"/>
    <n v="18.214285714285715"/>
  </r>
  <r>
    <x v="21"/>
    <x v="2"/>
    <n v="130"/>
    <n v="1850"/>
    <n v="200"/>
    <n v="700"/>
    <n v="2750"/>
    <n v="21.153846153846153"/>
  </r>
  <r>
    <x v="22"/>
    <x v="3"/>
    <n v="300"/>
    <n v="3900"/>
    <n v="700"/>
    <n v="1000"/>
    <n v="5600"/>
    <n v="18.666666666666668"/>
  </r>
  <r>
    <x v="23"/>
    <x v="4"/>
    <n v="220"/>
    <n v="3050"/>
    <n v="450"/>
    <n v="850"/>
    <n v="4350"/>
    <n v="19.772727272727273"/>
  </r>
  <r>
    <x v="24"/>
    <x v="5"/>
    <n v="190"/>
    <n v="2700"/>
    <n v="350"/>
    <n v="800"/>
    <n v="3850"/>
    <n v="20.263157894736842"/>
  </r>
  <r>
    <x v="25"/>
    <x v="6"/>
    <n v="450"/>
    <n v="6300"/>
    <n v="900"/>
    <n v="1200"/>
    <n v="8400"/>
    <n v="18.666666666666668"/>
  </r>
  <r>
    <x v="26"/>
    <x v="7"/>
    <n v="120"/>
    <n v="1650"/>
    <n v="180"/>
    <n v="650"/>
    <n v="2480"/>
    <n v="20.666666666666668"/>
  </r>
  <r>
    <x v="27"/>
    <x v="8"/>
    <n v="390"/>
    <n v="5100"/>
    <n v="750"/>
    <n v="1100"/>
    <n v="6950"/>
    <n v="17.820512820512821"/>
  </r>
  <r>
    <x v="28"/>
    <x v="0"/>
    <n v="180"/>
    <n v="2350"/>
    <n v="400"/>
    <n v="800"/>
    <n v="3550"/>
    <n v="19.722222222222221"/>
  </r>
  <r>
    <x v="29"/>
    <x v="1"/>
    <n v="280"/>
    <n v="3450"/>
    <n v="600"/>
    <n v="900"/>
    <n v="4950"/>
    <n v="17.6785714285714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ABEB0-56BE-4409-BE8D-18A7B203971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11" firstHeaderRow="1" firstDataRow="1" firstDataCol="1"/>
  <pivotFields count="8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10">
        <item x="3"/>
        <item x="0"/>
        <item x="4"/>
        <item x="6"/>
        <item x="5"/>
        <item x="7"/>
        <item x="8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cost per KM" fld="7" subtotal="average" baseField="1" baseItem="1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91854-E59C-4E89-AA93-8F62A81006A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13" firstHeaderRow="0" firstDataRow="1" firstDataCol="1"/>
  <pivotFields count="8">
    <pivotField showAll="0"/>
    <pivotField axis="axisRow" showAll="0">
      <items count="10">
        <item x="3"/>
        <item x="0"/>
        <item x="4"/>
        <item x="6"/>
        <item x="5"/>
        <item x="7"/>
        <item x="8"/>
        <item x="2"/>
        <item x="1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uel Cost (INR)" fld="3" baseField="0" baseItem="0"/>
    <dataField name="Sum of Toll Charges (INR)" fld="4" baseField="0" baseItem="0"/>
    <dataField name="Sum of Driver Allowance (INR)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F67B4-BC48-4202-AFEB-7D4262C67956}" name="Table1" displayName="Table1" ref="A1:B5" totalsRowShown="0" headerRowDxfId="0">
  <autoFilter ref="A1:B5" xr:uid="{48EF67B4-BC48-4202-AFEB-7D4262C67956}"/>
  <tableColumns count="2">
    <tableColumn id="1" xr3:uid="{9FD7EB7E-DD4F-4517-947A-6682A3882F32}" name="KPI"/>
    <tableColumn id="2" xr3:uid="{DDBD50A6-901F-4C74-BD7E-425D3D6D859B}" name="Result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pane ySplit="1" topLeftCell="A5" activePane="bottomLeft" state="frozen"/>
      <selection pane="bottomLeft" activeCell="J10" sqref="J10"/>
    </sheetView>
  </sheetViews>
  <sheetFormatPr defaultRowHeight="14.25" x14ac:dyDescent="0.45"/>
  <cols>
    <col min="1" max="1" width="10" customWidth="1"/>
    <col min="2" max="2" width="22" customWidth="1"/>
    <col min="3" max="3" width="16" style="16" customWidth="1"/>
    <col min="4" max="4" width="18" style="16" customWidth="1"/>
    <col min="5" max="5" width="21" style="16" customWidth="1"/>
    <col min="6" max="6" width="25" style="16" customWidth="1"/>
    <col min="7" max="7" width="13.1328125" customWidth="1"/>
    <col min="8" max="8" width="13.59765625" style="16" customWidth="1"/>
  </cols>
  <sheetData>
    <row r="1" spans="1:8" x14ac:dyDescent="0.45">
      <c r="A1" s="1" t="s">
        <v>0</v>
      </c>
      <c r="B1" s="1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4" t="s">
        <v>52</v>
      </c>
      <c r="H1" s="18" t="s">
        <v>53</v>
      </c>
    </row>
    <row r="2" spans="1:8" x14ac:dyDescent="0.45">
      <c r="A2" t="s">
        <v>6</v>
      </c>
      <c r="B2" t="s">
        <v>7</v>
      </c>
      <c r="C2" s="16">
        <v>180</v>
      </c>
      <c r="D2" s="16">
        <v>2500</v>
      </c>
      <c r="E2" s="16">
        <v>400</v>
      </c>
      <c r="F2" s="16">
        <v>800</v>
      </c>
      <c r="G2">
        <f>SUM(D2:F2)</f>
        <v>3700</v>
      </c>
      <c r="H2" s="16">
        <f>G2/C2</f>
        <v>20.555555555555557</v>
      </c>
    </row>
    <row r="3" spans="1:8" x14ac:dyDescent="0.45">
      <c r="A3" t="s">
        <v>8</v>
      </c>
      <c r="B3" t="s">
        <v>9</v>
      </c>
      <c r="C3" s="16">
        <v>280</v>
      </c>
      <c r="D3" s="16">
        <v>3500</v>
      </c>
      <c r="E3" s="16">
        <v>600</v>
      </c>
      <c r="F3" s="16">
        <v>900</v>
      </c>
      <c r="G3">
        <f>SUM(D3:F3)</f>
        <v>5000</v>
      </c>
      <c r="H3" s="16">
        <f t="shared" ref="H3:H31" si="0">G3/C3</f>
        <v>17.857142857142858</v>
      </c>
    </row>
    <row r="4" spans="1:8" x14ac:dyDescent="0.45">
      <c r="A4" t="s">
        <v>10</v>
      </c>
      <c r="B4" t="s">
        <v>11</v>
      </c>
      <c r="C4" s="16">
        <v>130</v>
      </c>
      <c r="D4" s="16">
        <v>1800</v>
      </c>
      <c r="E4" s="16">
        <v>200</v>
      </c>
      <c r="F4" s="16">
        <v>700</v>
      </c>
      <c r="G4" s="16">
        <f>SUM(D4:F4)</f>
        <v>2700</v>
      </c>
      <c r="H4" s="16">
        <f t="shared" si="0"/>
        <v>20.76923076923077</v>
      </c>
    </row>
    <row r="5" spans="1:8" x14ac:dyDescent="0.45">
      <c r="A5" t="s">
        <v>12</v>
      </c>
      <c r="B5" t="s">
        <v>13</v>
      </c>
      <c r="C5" s="16">
        <v>300</v>
      </c>
      <c r="D5" s="16">
        <v>4000</v>
      </c>
      <c r="E5" s="16">
        <v>700</v>
      </c>
      <c r="F5" s="16">
        <v>1000</v>
      </c>
      <c r="G5" s="16">
        <f t="shared" ref="G5:G31" si="1">SUM(D5:F5)</f>
        <v>5700</v>
      </c>
      <c r="H5" s="16">
        <f t="shared" si="0"/>
        <v>19</v>
      </c>
    </row>
    <row r="6" spans="1:8" x14ac:dyDescent="0.45">
      <c r="A6" t="s">
        <v>14</v>
      </c>
      <c r="B6" t="s">
        <v>7</v>
      </c>
      <c r="C6" s="16">
        <v>180</v>
      </c>
      <c r="D6" s="16">
        <v>2300</v>
      </c>
      <c r="E6" s="16">
        <v>400</v>
      </c>
      <c r="F6" s="16">
        <v>800</v>
      </c>
      <c r="G6" s="16">
        <f t="shared" si="1"/>
        <v>3500</v>
      </c>
      <c r="H6" s="16">
        <f t="shared" si="0"/>
        <v>19.444444444444443</v>
      </c>
    </row>
    <row r="7" spans="1:8" x14ac:dyDescent="0.45">
      <c r="A7" t="s">
        <v>15</v>
      </c>
      <c r="B7" t="s">
        <v>16</v>
      </c>
      <c r="C7" s="16">
        <v>220</v>
      </c>
      <c r="D7" s="16">
        <v>2900</v>
      </c>
      <c r="E7" s="16">
        <v>450</v>
      </c>
      <c r="F7" s="16">
        <v>850</v>
      </c>
      <c r="G7" s="16">
        <f t="shared" si="1"/>
        <v>4200</v>
      </c>
      <c r="H7" s="16">
        <f t="shared" si="0"/>
        <v>19.09090909090909</v>
      </c>
    </row>
    <row r="8" spans="1:8" x14ac:dyDescent="0.45">
      <c r="A8" t="s">
        <v>17</v>
      </c>
      <c r="B8" t="s">
        <v>18</v>
      </c>
      <c r="C8" s="16">
        <v>190</v>
      </c>
      <c r="D8" s="16">
        <v>2600</v>
      </c>
      <c r="E8" s="16">
        <v>350</v>
      </c>
      <c r="F8" s="16">
        <v>800</v>
      </c>
      <c r="G8" s="16">
        <f t="shared" si="1"/>
        <v>3750</v>
      </c>
      <c r="H8" s="16">
        <f t="shared" si="0"/>
        <v>19.736842105263158</v>
      </c>
    </row>
    <row r="9" spans="1:8" x14ac:dyDescent="0.45">
      <c r="A9" t="s">
        <v>19</v>
      </c>
      <c r="B9" t="s">
        <v>20</v>
      </c>
      <c r="C9" s="16">
        <v>450</v>
      </c>
      <c r="D9" s="16">
        <v>6100</v>
      </c>
      <c r="E9" s="16">
        <v>900</v>
      </c>
      <c r="F9" s="16">
        <v>1200</v>
      </c>
      <c r="G9" s="16">
        <f t="shared" si="1"/>
        <v>8200</v>
      </c>
      <c r="H9" s="16">
        <f t="shared" si="0"/>
        <v>18.222222222222221</v>
      </c>
    </row>
    <row r="10" spans="1:8" x14ac:dyDescent="0.45">
      <c r="A10" t="s">
        <v>21</v>
      </c>
      <c r="B10" t="s">
        <v>22</v>
      </c>
      <c r="C10" s="16">
        <v>120</v>
      </c>
      <c r="D10" s="16">
        <v>1600</v>
      </c>
      <c r="E10" s="16">
        <v>180</v>
      </c>
      <c r="F10" s="16">
        <v>650</v>
      </c>
      <c r="G10" s="16">
        <f t="shared" si="1"/>
        <v>2430</v>
      </c>
      <c r="H10" s="16">
        <f t="shared" si="0"/>
        <v>20.25</v>
      </c>
    </row>
    <row r="11" spans="1:8" x14ac:dyDescent="0.45">
      <c r="A11" t="s">
        <v>23</v>
      </c>
      <c r="B11" t="s">
        <v>24</v>
      </c>
      <c r="C11" s="16">
        <v>390</v>
      </c>
      <c r="D11" s="16">
        <v>5200</v>
      </c>
      <c r="E11" s="16">
        <v>750</v>
      </c>
      <c r="F11" s="16">
        <v>1100</v>
      </c>
      <c r="G11" s="16">
        <f t="shared" si="1"/>
        <v>7050</v>
      </c>
      <c r="H11" s="16">
        <f t="shared" si="0"/>
        <v>18.076923076923077</v>
      </c>
    </row>
    <row r="12" spans="1:8" x14ac:dyDescent="0.45">
      <c r="A12" t="s">
        <v>25</v>
      </c>
      <c r="B12" t="s">
        <v>7</v>
      </c>
      <c r="C12" s="16">
        <v>180</v>
      </c>
      <c r="D12" s="16">
        <v>2400</v>
      </c>
      <c r="E12" s="16">
        <v>400</v>
      </c>
      <c r="F12" s="16">
        <v>800</v>
      </c>
      <c r="G12" s="16">
        <f t="shared" si="1"/>
        <v>3600</v>
      </c>
      <c r="H12" s="16">
        <f t="shared" si="0"/>
        <v>20</v>
      </c>
    </row>
    <row r="13" spans="1:8" x14ac:dyDescent="0.45">
      <c r="A13" t="s">
        <v>26</v>
      </c>
      <c r="B13" t="s">
        <v>9</v>
      </c>
      <c r="C13" s="16">
        <v>280</v>
      </c>
      <c r="D13" s="16">
        <v>3300</v>
      </c>
      <c r="E13" s="16">
        <v>600</v>
      </c>
      <c r="F13" s="16">
        <v>900</v>
      </c>
      <c r="G13" s="16">
        <f t="shared" si="1"/>
        <v>4800</v>
      </c>
      <c r="H13" s="16">
        <f t="shared" si="0"/>
        <v>17.142857142857142</v>
      </c>
    </row>
    <row r="14" spans="1:8" x14ac:dyDescent="0.45">
      <c r="A14" t="s">
        <v>27</v>
      </c>
      <c r="B14" t="s">
        <v>11</v>
      </c>
      <c r="C14" s="16">
        <v>130</v>
      </c>
      <c r="D14" s="16">
        <v>1700</v>
      </c>
      <c r="E14" s="16">
        <v>200</v>
      </c>
      <c r="F14" s="16">
        <v>700</v>
      </c>
      <c r="G14" s="16">
        <f t="shared" si="1"/>
        <v>2600</v>
      </c>
      <c r="H14" s="16">
        <f t="shared" si="0"/>
        <v>20</v>
      </c>
    </row>
    <row r="15" spans="1:8" x14ac:dyDescent="0.45">
      <c r="A15" t="s">
        <v>28</v>
      </c>
      <c r="B15" t="s">
        <v>13</v>
      </c>
      <c r="C15" s="16">
        <v>300</v>
      </c>
      <c r="D15" s="16">
        <v>4200</v>
      </c>
      <c r="E15" s="16">
        <v>700</v>
      </c>
      <c r="F15" s="16">
        <v>1000</v>
      </c>
      <c r="G15" s="16">
        <f t="shared" si="1"/>
        <v>5900</v>
      </c>
      <c r="H15" s="16">
        <f t="shared" si="0"/>
        <v>19.666666666666668</v>
      </c>
    </row>
    <row r="16" spans="1:8" x14ac:dyDescent="0.45">
      <c r="A16" t="s">
        <v>29</v>
      </c>
      <c r="B16" t="s">
        <v>16</v>
      </c>
      <c r="C16" s="16">
        <v>220</v>
      </c>
      <c r="D16" s="16">
        <v>2800</v>
      </c>
      <c r="E16" s="16">
        <v>450</v>
      </c>
      <c r="F16" s="16">
        <v>850</v>
      </c>
      <c r="G16" s="16">
        <f t="shared" si="1"/>
        <v>4100</v>
      </c>
      <c r="H16" s="16">
        <f t="shared" si="0"/>
        <v>18.636363636363637</v>
      </c>
    </row>
    <row r="17" spans="1:8" x14ac:dyDescent="0.45">
      <c r="A17" t="s">
        <v>30</v>
      </c>
      <c r="B17" t="s">
        <v>18</v>
      </c>
      <c r="C17" s="16">
        <v>190</v>
      </c>
      <c r="D17" s="16">
        <v>2500</v>
      </c>
      <c r="E17" s="16">
        <v>350</v>
      </c>
      <c r="F17" s="16">
        <v>800</v>
      </c>
      <c r="G17" s="16">
        <f t="shared" si="1"/>
        <v>3650</v>
      </c>
      <c r="H17" s="16">
        <f t="shared" si="0"/>
        <v>19.210526315789473</v>
      </c>
    </row>
    <row r="18" spans="1:8" x14ac:dyDescent="0.45">
      <c r="A18" t="s">
        <v>31</v>
      </c>
      <c r="B18" t="s">
        <v>20</v>
      </c>
      <c r="C18" s="16">
        <v>450</v>
      </c>
      <c r="D18" s="16">
        <v>5900</v>
      </c>
      <c r="E18" s="16">
        <v>900</v>
      </c>
      <c r="F18" s="16">
        <v>1200</v>
      </c>
      <c r="G18" s="16">
        <f t="shared" si="1"/>
        <v>8000</v>
      </c>
      <c r="H18" s="16">
        <f t="shared" si="0"/>
        <v>17.777777777777779</v>
      </c>
    </row>
    <row r="19" spans="1:8" x14ac:dyDescent="0.45">
      <c r="A19" t="s">
        <v>32</v>
      </c>
      <c r="B19" t="s">
        <v>22</v>
      </c>
      <c r="C19" s="16">
        <v>120</v>
      </c>
      <c r="D19" s="16">
        <v>1550</v>
      </c>
      <c r="E19" s="16">
        <v>180</v>
      </c>
      <c r="F19" s="16">
        <v>650</v>
      </c>
      <c r="G19" s="16">
        <f t="shared" si="1"/>
        <v>2380</v>
      </c>
      <c r="H19" s="16">
        <f t="shared" si="0"/>
        <v>19.833333333333332</v>
      </c>
    </row>
    <row r="20" spans="1:8" x14ac:dyDescent="0.45">
      <c r="A20" t="s">
        <v>33</v>
      </c>
      <c r="B20" t="s">
        <v>24</v>
      </c>
      <c r="C20" s="16">
        <v>390</v>
      </c>
      <c r="D20" s="16">
        <v>5400</v>
      </c>
      <c r="E20" s="16">
        <v>750</v>
      </c>
      <c r="F20" s="16">
        <v>1100</v>
      </c>
      <c r="G20" s="16">
        <f t="shared" si="1"/>
        <v>7250</v>
      </c>
      <c r="H20" s="16">
        <f t="shared" si="0"/>
        <v>18.589743589743591</v>
      </c>
    </row>
    <row r="21" spans="1:8" x14ac:dyDescent="0.45">
      <c r="A21" t="s">
        <v>34</v>
      </c>
      <c r="B21" t="s">
        <v>7</v>
      </c>
      <c r="C21" s="16">
        <v>180</v>
      </c>
      <c r="D21" s="16">
        <v>2550</v>
      </c>
      <c r="E21" s="16">
        <v>400</v>
      </c>
      <c r="F21" s="16">
        <v>800</v>
      </c>
      <c r="G21" s="16">
        <f t="shared" si="1"/>
        <v>3750</v>
      </c>
      <c r="H21" s="16">
        <f t="shared" si="0"/>
        <v>20.833333333333332</v>
      </c>
    </row>
    <row r="22" spans="1:8" x14ac:dyDescent="0.45">
      <c r="A22" t="s">
        <v>35</v>
      </c>
      <c r="B22" t="s">
        <v>9</v>
      </c>
      <c r="C22" s="16">
        <v>280</v>
      </c>
      <c r="D22" s="16">
        <v>3600</v>
      </c>
      <c r="E22" s="16">
        <v>600</v>
      </c>
      <c r="F22" s="16">
        <v>900</v>
      </c>
      <c r="G22" s="16">
        <f t="shared" si="1"/>
        <v>5100</v>
      </c>
      <c r="H22" s="16">
        <f t="shared" si="0"/>
        <v>18.214285714285715</v>
      </c>
    </row>
    <row r="23" spans="1:8" x14ac:dyDescent="0.45">
      <c r="A23" t="s">
        <v>36</v>
      </c>
      <c r="B23" t="s">
        <v>11</v>
      </c>
      <c r="C23" s="16">
        <v>130</v>
      </c>
      <c r="D23" s="16">
        <v>1850</v>
      </c>
      <c r="E23" s="16">
        <v>200</v>
      </c>
      <c r="F23" s="16">
        <v>700</v>
      </c>
      <c r="G23" s="16">
        <f t="shared" si="1"/>
        <v>2750</v>
      </c>
      <c r="H23" s="16">
        <f t="shared" si="0"/>
        <v>21.153846153846153</v>
      </c>
    </row>
    <row r="24" spans="1:8" x14ac:dyDescent="0.45">
      <c r="A24" t="s">
        <v>37</v>
      </c>
      <c r="B24" t="s">
        <v>13</v>
      </c>
      <c r="C24" s="16">
        <v>300</v>
      </c>
      <c r="D24" s="16">
        <v>3900</v>
      </c>
      <c r="E24" s="16">
        <v>700</v>
      </c>
      <c r="F24" s="16">
        <v>1000</v>
      </c>
      <c r="G24" s="16">
        <f t="shared" si="1"/>
        <v>5600</v>
      </c>
      <c r="H24" s="16">
        <f t="shared" si="0"/>
        <v>18.666666666666668</v>
      </c>
    </row>
    <row r="25" spans="1:8" x14ac:dyDescent="0.45">
      <c r="A25" t="s">
        <v>38</v>
      </c>
      <c r="B25" t="s">
        <v>16</v>
      </c>
      <c r="C25" s="16">
        <v>220</v>
      </c>
      <c r="D25" s="16">
        <v>3050</v>
      </c>
      <c r="E25" s="16">
        <v>450</v>
      </c>
      <c r="F25" s="16">
        <v>850</v>
      </c>
      <c r="G25" s="16">
        <f t="shared" si="1"/>
        <v>4350</v>
      </c>
      <c r="H25" s="16">
        <f t="shared" si="0"/>
        <v>19.772727272727273</v>
      </c>
    </row>
    <row r="26" spans="1:8" x14ac:dyDescent="0.45">
      <c r="A26" t="s">
        <v>39</v>
      </c>
      <c r="B26" t="s">
        <v>18</v>
      </c>
      <c r="C26" s="16">
        <v>190</v>
      </c>
      <c r="D26" s="16">
        <v>2700</v>
      </c>
      <c r="E26" s="16">
        <v>350</v>
      </c>
      <c r="F26" s="16">
        <v>800</v>
      </c>
      <c r="G26" s="16">
        <f t="shared" si="1"/>
        <v>3850</v>
      </c>
      <c r="H26" s="16">
        <f t="shared" si="0"/>
        <v>20.263157894736842</v>
      </c>
    </row>
    <row r="27" spans="1:8" x14ac:dyDescent="0.45">
      <c r="A27" t="s">
        <v>40</v>
      </c>
      <c r="B27" t="s">
        <v>20</v>
      </c>
      <c r="C27" s="16">
        <v>450</v>
      </c>
      <c r="D27" s="16">
        <v>6300</v>
      </c>
      <c r="E27" s="16">
        <v>900</v>
      </c>
      <c r="F27" s="16">
        <v>1200</v>
      </c>
      <c r="G27" s="16">
        <f t="shared" si="1"/>
        <v>8400</v>
      </c>
      <c r="H27" s="16">
        <f t="shared" si="0"/>
        <v>18.666666666666668</v>
      </c>
    </row>
    <row r="28" spans="1:8" x14ac:dyDescent="0.45">
      <c r="A28" t="s">
        <v>41</v>
      </c>
      <c r="B28" t="s">
        <v>22</v>
      </c>
      <c r="C28" s="16">
        <v>120</v>
      </c>
      <c r="D28" s="16">
        <v>1650</v>
      </c>
      <c r="E28" s="16">
        <v>180</v>
      </c>
      <c r="F28" s="16">
        <v>650</v>
      </c>
      <c r="G28" s="16">
        <f t="shared" si="1"/>
        <v>2480</v>
      </c>
      <c r="H28" s="16">
        <f t="shared" si="0"/>
        <v>20.666666666666668</v>
      </c>
    </row>
    <row r="29" spans="1:8" x14ac:dyDescent="0.45">
      <c r="A29" t="s">
        <v>42</v>
      </c>
      <c r="B29" t="s">
        <v>24</v>
      </c>
      <c r="C29" s="16">
        <v>390</v>
      </c>
      <c r="D29" s="16">
        <v>5100</v>
      </c>
      <c r="E29" s="16">
        <v>750</v>
      </c>
      <c r="F29" s="16">
        <v>1100</v>
      </c>
      <c r="G29" s="16">
        <f t="shared" si="1"/>
        <v>6950</v>
      </c>
      <c r="H29" s="16">
        <f t="shared" si="0"/>
        <v>17.820512820512821</v>
      </c>
    </row>
    <row r="30" spans="1:8" x14ac:dyDescent="0.45">
      <c r="A30" t="s">
        <v>43</v>
      </c>
      <c r="B30" t="s">
        <v>7</v>
      </c>
      <c r="C30" s="16">
        <v>180</v>
      </c>
      <c r="D30" s="16">
        <v>2350</v>
      </c>
      <c r="E30" s="16">
        <v>400</v>
      </c>
      <c r="F30" s="16">
        <v>800</v>
      </c>
      <c r="G30" s="16">
        <f t="shared" si="1"/>
        <v>3550</v>
      </c>
      <c r="H30" s="16">
        <f t="shared" si="0"/>
        <v>19.722222222222221</v>
      </c>
    </row>
    <row r="31" spans="1:8" x14ac:dyDescent="0.45">
      <c r="A31" t="s">
        <v>44</v>
      </c>
      <c r="B31" t="s">
        <v>9</v>
      </c>
      <c r="C31" s="16">
        <v>280</v>
      </c>
      <c r="D31" s="16">
        <v>3450</v>
      </c>
      <c r="E31" s="16">
        <v>600</v>
      </c>
      <c r="F31" s="16">
        <v>900</v>
      </c>
      <c r="G31" s="16">
        <f t="shared" si="1"/>
        <v>4950</v>
      </c>
      <c r="H31" s="16">
        <f t="shared" si="0"/>
        <v>17.678571428571427</v>
      </c>
    </row>
  </sheetData>
  <autoFilter ref="A1:F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topLeftCell="A4" workbookViewId="0">
      <selection activeCell="A17" sqref="A17"/>
    </sheetView>
  </sheetViews>
  <sheetFormatPr defaultRowHeight="14.25" x14ac:dyDescent="0.45"/>
  <cols>
    <col min="1" max="1" width="105" customWidth="1"/>
  </cols>
  <sheetData>
    <row r="1" spans="1:1" x14ac:dyDescent="0.45">
      <c r="A1" s="2" t="s">
        <v>45</v>
      </c>
    </row>
    <row r="2" spans="1:1" x14ac:dyDescent="0.45">
      <c r="A2" s="3" t="s">
        <v>46</v>
      </c>
    </row>
    <row r="3" spans="1:1" x14ac:dyDescent="0.45">
      <c r="A3" s="3" t="s">
        <v>47</v>
      </c>
    </row>
    <row r="4" spans="1:1" x14ac:dyDescent="0.45">
      <c r="A4" s="3" t="s">
        <v>48</v>
      </c>
    </row>
    <row r="5" spans="1:1" x14ac:dyDescent="0.45">
      <c r="A5" s="3" t="s">
        <v>49</v>
      </c>
    </row>
    <row r="6" spans="1:1" x14ac:dyDescent="0.45">
      <c r="A6" s="3" t="s">
        <v>50</v>
      </c>
    </row>
    <row r="7" spans="1:1" x14ac:dyDescent="0.45">
      <c r="A7" s="3" t="s">
        <v>51</v>
      </c>
    </row>
    <row r="20" spans="1:1" x14ac:dyDescent="0.45">
      <c r="A20" t="s">
        <v>62</v>
      </c>
    </row>
    <row r="21" spans="1:1" x14ac:dyDescent="0.45">
      <c r="A21" t="s">
        <v>63</v>
      </c>
    </row>
    <row r="22" spans="1:1" x14ac:dyDescent="0.45">
      <c r="A22" t="s">
        <v>64</v>
      </c>
    </row>
    <row r="23" spans="1:1" x14ac:dyDescent="0.45">
      <c r="A23" t="s">
        <v>65</v>
      </c>
    </row>
    <row r="24" spans="1:1" x14ac:dyDescent="0.45">
      <c r="A24" t="s">
        <v>66</v>
      </c>
    </row>
    <row r="25" spans="1:1" x14ac:dyDescent="0.45">
      <c r="A25" t="s">
        <v>67</v>
      </c>
    </row>
    <row r="26" spans="1:1" x14ac:dyDescent="0.45">
      <c r="A26" t="s">
        <v>68</v>
      </c>
    </row>
    <row r="27" spans="1:1" x14ac:dyDescent="0.45">
      <c r="A27" t="s">
        <v>69</v>
      </c>
    </row>
    <row r="28" spans="1:1" x14ac:dyDescent="0.45">
      <c r="A28" t="s">
        <v>70</v>
      </c>
    </row>
    <row r="29" spans="1:1" x14ac:dyDescent="0.45">
      <c r="A29" t="s">
        <v>68</v>
      </c>
    </row>
    <row r="30" spans="1:1" x14ac:dyDescent="0.45">
      <c r="A30" t="s">
        <v>71</v>
      </c>
    </row>
    <row r="31" spans="1:1" x14ac:dyDescent="0.45">
      <c r="A31" t="s">
        <v>72</v>
      </c>
    </row>
    <row r="32" spans="1:1" x14ac:dyDescent="0.45">
      <c r="A32" t="s">
        <v>73</v>
      </c>
    </row>
    <row r="33" spans="1:1" x14ac:dyDescent="0.45">
      <c r="A33" t="s">
        <v>72</v>
      </c>
    </row>
    <row r="34" spans="1:1" x14ac:dyDescent="0.45">
      <c r="A34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246A-7C6E-4547-8FA9-7876CE994B62}">
  <dimension ref="A1:D6"/>
  <sheetViews>
    <sheetView workbookViewId="0">
      <selection activeCell="B1" sqref="B1:B1048576"/>
    </sheetView>
  </sheetViews>
  <sheetFormatPr defaultRowHeight="14.25" x14ac:dyDescent="0.45"/>
  <cols>
    <col min="1" max="1" width="24.46484375" customWidth="1"/>
    <col min="2" max="2" width="11.06640625" style="16" bestFit="1" customWidth="1"/>
    <col min="3" max="3" width="24.53125" customWidth="1"/>
    <col min="4" max="4" width="19.6640625" customWidth="1"/>
    <col min="7" max="7" width="16.33203125" customWidth="1"/>
    <col min="10" max="10" width="20.46484375" customWidth="1"/>
  </cols>
  <sheetData>
    <row r="1" spans="1:4" x14ac:dyDescent="0.45">
      <c r="A1" s="7" t="s">
        <v>60</v>
      </c>
      <c r="B1" s="19" t="s">
        <v>61</v>
      </c>
    </row>
    <row r="2" spans="1:4" x14ac:dyDescent="0.45">
      <c r="A2" s="7" t="s">
        <v>56</v>
      </c>
      <c r="B2" s="16">
        <f>SUM(Sheet1!G2:G31)</f>
        <v>140240</v>
      </c>
    </row>
    <row r="3" spans="1:4" x14ac:dyDescent="0.45">
      <c r="A3" t="s">
        <v>57</v>
      </c>
      <c r="B3" s="16">
        <f>COUNTA(Sheet1!B2:B31)</f>
        <v>30</v>
      </c>
    </row>
    <row r="4" spans="1:4" x14ac:dyDescent="0.45">
      <c r="A4" t="s">
        <v>58</v>
      </c>
      <c r="B4" s="16">
        <f>SUM(Sheet1!C2:C31)</f>
        <v>7420</v>
      </c>
    </row>
    <row r="5" spans="1:4" x14ac:dyDescent="0.45">
      <c r="A5" t="s">
        <v>59</v>
      </c>
      <c r="B5" s="16">
        <f>B2/B4</f>
        <v>18.900269541778975</v>
      </c>
    </row>
    <row r="6" spans="1:4" x14ac:dyDescent="0.45">
      <c r="D6" t="s">
        <v>75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5DC2-6B06-4456-819F-35B581844720}">
  <dimension ref="A1:B11"/>
  <sheetViews>
    <sheetView workbookViewId="0"/>
  </sheetViews>
  <sheetFormatPr defaultRowHeight="14.25" x14ac:dyDescent="0.45"/>
  <cols>
    <col min="1" max="1" width="17.6640625" bestFit="1" customWidth="1"/>
    <col min="2" max="3" width="19.86328125" bestFit="1" customWidth="1"/>
  </cols>
  <sheetData>
    <row r="1" spans="1:2" x14ac:dyDescent="0.45">
      <c r="A1" s="5" t="s">
        <v>54</v>
      </c>
      <c r="B1" t="s">
        <v>82</v>
      </c>
    </row>
    <row r="2" spans="1:2" x14ac:dyDescent="0.45">
      <c r="A2" s="6" t="s">
        <v>13</v>
      </c>
      <c r="B2">
        <v>19.111111111111114</v>
      </c>
    </row>
    <row r="3" spans="1:2" x14ac:dyDescent="0.45">
      <c r="A3" s="6" t="s">
        <v>7</v>
      </c>
      <c r="B3">
        <v>20.111111111111107</v>
      </c>
    </row>
    <row r="4" spans="1:2" x14ac:dyDescent="0.45">
      <c r="A4" s="6" t="s">
        <v>16</v>
      </c>
      <c r="B4">
        <v>19.166666666666668</v>
      </c>
    </row>
    <row r="5" spans="1:2" x14ac:dyDescent="0.45">
      <c r="A5" s="6" t="s">
        <v>20</v>
      </c>
      <c r="B5">
        <v>18.222222222222225</v>
      </c>
    </row>
    <row r="6" spans="1:2" x14ac:dyDescent="0.45">
      <c r="A6" s="6" t="s">
        <v>18</v>
      </c>
      <c r="B6">
        <v>19.736842105263158</v>
      </c>
    </row>
    <row r="7" spans="1:2" x14ac:dyDescent="0.45">
      <c r="A7" s="6" t="s">
        <v>22</v>
      </c>
      <c r="B7">
        <v>20.25</v>
      </c>
    </row>
    <row r="8" spans="1:2" x14ac:dyDescent="0.45">
      <c r="A8" s="6" t="s">
        <v>24</v>
      </c>
      <c r="B8">
        <v>18.162393162393162</v>
      </c>
    </row>
    <row r="9" spans="1:2" x14ac:dyDescent="0.45">
      <c r="A9" s="6" t="s">
        <v>11</v>
      </c>
      <c r="B9">
        <v>20.641025641025642</v>
      </c>
    </row>
    <row r="10" spans="1:2" x14ac:dyDescent="0.45">
      <c r="A10" s="6" t="s">
        <v>9</v>
      </c>
      <c r="B10">
        <v>17.723214285714285</v>
      </c>
    </row>
    <row r="11" spans="1:2" x14ac:dyDescent="0.45">
      <c r="A11" s="6" t="s">
        <v>55</v>
      </c>
      <c r="B11">
        <v>19.243973180815285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A889-C5D8-4309-9EB0-FE331365DAF9}">
  <dimension ref="A3:D13"/>
  <sheetViews>
    <sheetView workbookViewId="0">
      <selection activeCell="B30" sqref="B30"/>
    </sheetView>
  </sheetViews>
  <sheetFormatPr defaultRowHeight="14.25" x14ac:dyDescent="0.45"/>
  <cols>
    <col min="1" max="1" width="17.6640625" bestFit="1" customWidth="1"/>
    <col min="2" max="2" width="19" bestFit="1" customWidth="1"/>
    <col min="3" max="3" width="21.46484375" bestFit="1" customWidth="1"/>
    <col min="4" max="4" width="25.59765625" bestFit="1" customWidth="1"/>
  </cols>
  <sheetData>
    <row r="3" spans="1:4" x14ac:dyDescent="0.45">
      <c r="A3" s="5" t="s">
        <v>54</v>
      </c>
      <c r="B3" t="s">
        <v>84</v>
      </c>
      <c r="C3" t="s">
        <v>85</v>
      </c>
      <c r="D3" t="s">
        <v>86</v>
      </c>
    </row>
    <row r="4" spans="1:4" x14ac:dyDescent="0.45">
      <c r="A4" s="6" t="s">
        <v>13</v>
      </c>
      <c r="B4" s="10">
        <v>12100</v>
      </c>
      <c r="C4" s="10">
        <v>2100</v>
      </c>
      <c r="D4" s="10">
        <v>3000</v>
      </c>
    </row>
    <row r="5" spans="1:4" x14ac:dyDescent="0.45">
      <c r="A5" s="6" t="s">
        <v>7</v>
      </c>
      <c r="B5" s="10">
        <v>12100</v>
      </c>
      <c r="C5" s="10">
        <v>2000</v>
      </c>
      <c r="D5" s="10">
        <v>4000</v>
      </c>
    </row>
    <row r="6" spans="1:4" x14ac:dyDescent="0.45">
      <c r="A6" s="6" t="s">
        <v>16</v>
      </c>
      <c r="B6" s="10">
        <v>8750</v>
      </c>
      <c r="C6" s="10">
        <v>1350</v>
      </c>
      <c r="D6" s="10">
        <v>2550</v>
      </c>
    </row>
    <row r="7" spans="1:4" x14ac:dyDescent="0.45">
      <c r="A7" s="6" t="s">
        <v>20</v>
      </c>
      <c r="B7" s="10">
        <v>18300</v>
      </c>
      <c r="C7" s="10">
        <v>2700</v>
      </c>
      <c r="D7" s="10">
        <v>3600</v>
      </c>
    </row>
    <row r="8" spans="1:4" x14ac:dyDescent="0.45">
      <c r="A8" s="6" t="s">
        <v>18</v>
      </c>
      <c r="B8" s="10">
        <v>7800</v>
      </c>
      <c r="C8" s="10">
        <v>1050</v>
      </c>
      <c r="D8" s="10">
        <v>2400</v>
      </c>
    </row>
    <row r="9" spans="1:4" x14ac:dyDescent="0.45">
      <c r="A9" s="6" t="s">
        <v>22</v>
      </c>
      <c r="B9" s="10">
        <v>4800</v>
      </c>
      <c r="C9" s="10">
        <v>540</v>
      </c>
      <c r="D9" s="10">
        <v>1950</v>
      </c>
    </row>
    <row r="10" spans="1:4" x14ac:dyDescent="0.45">
      <c r="A10" s="6" t="s">
        <v>24</v>
      </c>
      <c r="B10" s="10">
        <v>15700</v>
      </c>
      <c r="C10" s="10">
        <v>2250</v>
      </c>
      <c r="D10" s="10">
        <v>3300</v>
      </c>
    </row>
    <row r="11" spans="1:4" x14ac:dyDescent="0.45">
      <c r="A11" s="6" t="s">
        <v>11</v>
      </c>
      <c r="B11" s="10">
        <v>5350</v>
      </c>
      <c r="C11" s="10">
        <v>600</v>
      </c>
      <c r="D11" s="10">
        <v>2100</v>
      </c>
    </row>
    <row r="12" spans="1:4" x14ac:dyDescent="0.45">
      <c r="A12" s="6" t="s">
        <v>9</v>
      </c>
      <c r="B12" s="10">
        <v>13850</v>
      </c>
      <c r="C12" s="10">
        <v>2400</v>
      </c>
      <c r="D12" s="10">
        <v>3600</v>
      </c>
    </row>
    <row r="13" spans="1:4" x14ac:dyDescent="0.45">
      <c r="A13" s="6" t="s">
        <v>55</v>
      </c>
      <c r="B13" s="10">
        <v>98750</v>
      </c>
      <c r="C13" s="10">
        <v>14990</v>
      </c>
      <c r="D13" s="10">
        <v>26500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F172-AACB-411C-B305-40962249EDAC}">
  <dimension ref="A1:I9"/>
  <sheetViews>
    <sheetView showGridLines="0" showRowColHeaders="0" tabSelected="1" workbookViewId="0">
      <selection sqref="A1:I2"/>
    </sheetView>
  </sheetViews>
  <sheetFormatPr defaultRowHeight="14.25" x14ac:dyDescent="0.45"/>
  <cols>
    <col min="1" max="1" width="47.265625" customWidth="1"/>
    <col min="2" max="2" width="12.265625" customWidth="1"/>
    <col min="3" max="3" width="17" customWidth="1"/>
    <col min="4" max="4" width="14.86328125" bestFit="1" customWidth="1"/>
    <col min="5" max="5" width="28.6640625" customWidth="1"/>
    <col min="6" max="6" width="17.73046875" customWidth="1"/>
    <col min="7" max="7" width="32.46484375" customWidth="1"/>
    <col min="8" max="8" width="12.6640625" bestFit="1" customWidth="1"/>
  </cols>
  <sheetData>
    <row r="1" spans="1:9" ht="25.5" customHeight="1" x14ac:dyDescent="0.45">
      <c r="A1" s="15" t="s">
        <v>76</v>
      </c>
      <c r="B1" s="15"/>
      <c r="C1" s="15"/>
      <c r="D1" s="15"/>
      <c r="E1" s="15"/>
      <c r="F1" s="15"/>
      <c r="G1" s="15"/>
      <c r="H1" s="15"/>
      <c r="I1" s="15"/>
    </row>
    <row r="2" spans="1:9" ht="25.9" customHeight="1" x14ac:dyDescent="0.45">
      <c r="A2" s="15"/>
      <c r="B2" s="15"/>
      <c r="C2" s="15"/>
      <c r="D2" s="15"/>
      <c r="E2" s="15"/>
      <c r="F2" s="15"/>
      <c r="G2" s="15"/>
      <c r="H2" s="15"/>
      <c r="I2" s="15"/>
    </row>
    <row r="3" spans="1:9" ht="25.9" thickBot="1" x14ac:dyDescent="0.8">
      <c r="B3" s="9"/>
      <c r="C3" s="9"/>
      <c r="E3" s="9"/>
    </row>
    <row r="4" spans="1:9" ht="21" customHeight="1" x14ac:dyDescent="0.7">
      <c r="A4" s="11" t="s">
        <v>77</v>
      </c>
      <c r="C4" s="12" t="s">
        <v>78</v>
      </c>
      <c r="E4" s="13" t="s">
        <v>79</v>
      </c>
      <c r="G4" s="14" t="s">
        <v>80</v>
      </c>
    </row>
    <row r="5" spans="1:9" ht="21.4" customHeight="1" thickBot="1" x14ac:dyDescent="0.7">
      <c r="A5" s="22">
        <f>'total cost'!B2</f>
        <v>140240</v>
      </c>
      <c r="C5" s="8">
        <f>'total cost'!B3</f>
        <v>30</v>
      </c>
      <c r="E5" s="22">
        <f>'total cost'!B4</f>
        <v>7420</v>
      </c>
      <c r="G5" s="20">
        <f>'total cost'!B5</f>
        <v>18.900269541778975</v>
      </c>
    </row>
    <row r="6" spans="1:9" x14ac:dyDescent="0.45">
      <c r="A6" s="21"/>
    </row>
    <row r="9" spans="1:9" ht="23.25" x14ac:dyDescent="0.7">
      <c r="A9" s="24" t="s">
        <v>81</v>
      </c>
      <c r="B9" s="24"/>
      <c r="C9" s="25" t="s">
        <v>83</v>
      </c>
      <c r="D9" s="25"/>
      <c r="E9" s="25"/>
      <c r="F9" s="26"/>
      <c r="G9" s="27" t="s">
        <v>87</v>
      </c>
      <c r="H9" s="23"/>
    </row>
  </sheetData>
  <mergeCells count="3">
    <mergeCell ref="A1:I2"/>
    <mergeCell ref="C9:E9"/>
    <mergeCell ref="A9:B9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Blue Print</vt:lpstr>
      <vt:lpstr>total cost</vt:lpstr>
      <vt:lpstr>Sheet2</vt:lpstr>
      <vt:lpstr>cost break down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Sujith Puli</cp:lastModifiedBy>
  <dcterms:created xsi:type="dcterms:W3CDTF">2026-10-24T06:54:05Z</dcterms:created>
  <dcterms:modified xsi:type="dcterms:W3CDTF">2026-10-29T15:15:34Z</dcterms:modified>
</cp:coreProperties>
</file>